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hidePivotFieldList="1" defaultThemeVersion="166925"/>
  <xr:revisionPtr revIDLastSave="0" documentId="8_{3B61D324-CB65-41B7-BD9F-0B8210809CBF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 Sheet1" sheetId="10" r:id="rId1"/>
    <sheet name="Sheet2" sheetId="11" r:id="rId2"/>
    <sheet name="Sheet3" sheetId="12" r:id="rId3"/>
    <sheet name="Sheet4" sheetId="13" r:id="rId4"/>
    <sheet name="Sheet5" sheetId="14" r:id="rId5"/>
  </sheets>
  <calcPr calcId="191028"/>
  <pivotCaches>
    <pivotCache cacheId="252" r:id="rId6"/>
    <pivotCache cacheId="25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0" l="1"/>
  <c r="I21" i="10" s="1"/>
  <c r="H20" i="10"/>
  <c r="I20" i="10" s="1"/>
  <c r="H19" i="10"/>
  <c r="I19" i="10" s="1"/>
  <c r="H18" i="10"/>
  <c r="I18" i="10" s="1"/>
  <c r="H17" i="10"/>
  <c r="I17" i="10" s="1"/>
  <c r="H16" i="10"/>
  <c r="I16" i="10" s="1"/>
  <c r="H15" i="10"/>
  <c r="I15" i="10" s="1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I9" i="10" s="1"/>
  <c r="H8" i="10"/>
  <c r="I8" i="10" s="1"/>
  <c r="H7" i="10"/>
  <c r="I7" i="10" s="1"/>
  <c r="K6" i="10"/>
  <c r="J6" i="10"/>
  <c r="H6" i="10"/>
  <c r="I6" i="10" s="1"/>
  <c r="H5" i="10"/>
  <c r="I5" i="10" s="1"/>
  <c r="H4" i="10"/>
  <c r="I4" i="10" s="1"/>
  <c r="H3" i="10"/>
  <c r="I3" i="10" s="1"/>
  <c r="N2" i="10"/>
  <c r="M2" i="10"/>
  <c r="L2" i="10"/>
  <c r="K2" i="10"/>
  <c r="H2" i="10"/>
  <c r="I2" i="10" s="1"/>
</calcChain>
</file>

<file path=xl/sharedStrings.xml><?xml version="1.0" encoding="utf-8"?>
<sst xmlns="http://schemas.openxmlformats.org/spreadsheetml/2006/main" count="139" uniqueCount="74">
  <si>
    <t>EMP ID</t>
  </si>
  <si>
    <t>NAME</t>
  </si>
  <si>
    <t>DEPARTNMENT</t>
  </si>
  <si>
    <t>SALARY</t>
  </si>
  <si>
    <t>EXPERIENCE</t>
  </si>
  <si>
    <t>STATUS</t>
  </si>
  <si>
    <t>GENDER</t>
  </si>
  <si>
    <t>BONUS</t>
  </si>
  <si>
    <t>TOTAL SALARY</t>
  </si>
  <si>
    <t>Avg salary</t>
  </si>
  <si>
    <t>Highest sal</t>
  </si>
  <si>
    <t>lowest sal</t>
  </si>
  <si>
    <t>acive emp count</t>
  </si>
  <si>
    <t>E001</t>
  </si>
  <si>
    <t>Arun</t>
  </si>
  <si>
    <t>IT</t>
  </si>
  <si>
    <t>Active</t>
  </si>
  <si>
    <t>Male</t>
  </si>
  <si>
    <t>E002</t>
  </si>
  <si>
    <t>Priya</t>
  </si>
  <si>
    <t>HR</t>
  </si>
  <si>
    <t>Female</t>
  </si>
  <si>
    <t>E003</t>
  </si>
  <si>
    <t>Karthika</t>
  </si>
  <si>
    <t>SALES</t>
  </si>
  <si>
    <t>Inactive</t>
  </si>
  <si>
    <t>E004</t>
  </si>
  <si>
    <t>Divya</t>
  </si>
  <si>
    <t>it dept total sal</t>
  </si>
  <si>
    <t>hr dept avg sal</t>
  </si>
  <si>
    <t>E005</t>
  </si>
  <si>
    <t>Ravi</t>
  </si>
  <si>
    <t>FINANCE</t>
  </si>
  <si>
    <t>E006</t>
  </si>
  <si>
    <t>Meena</t>
  </si>
  <si>
    <t>E007</t>
  </si>
  <si>
    <t>Surys</t>
  </si>
  <si>
    <t>E008</t>
  </si>
  <si>
    <t>Anu</t>
  </si>
  <si>
    <t>E009</t>
  </si>
  <si>
    <t>Ria</t>
  </si>
  <si>
    <t>E010</t>
  </si>
  <si>
    <t>Raj</t>
  </si>
  <si>
    <t>E011</t>
  </si>
  <si>
    <t>Ponni</t>
  </si>
  <si>
    <t>E012</t>
  </si>
  <si>
    <t>Rithika</t>
  </si>
  <si>
    <t>E013</t>
  </si>
  <si>
    <t>Vennila</t>
  </si>
  <si>
    <t>E014</t>
  </si>
  <si>
    <t>Ashwin</t>
  </si>
  <si>
    <t>MANAGER</t>
  </si>
  <si>
    <t>E015</t>
  </si>
  <si>
    <t>KAavi</t>
  </si>
  <si>
    <t>E016</t>
  </si>
  <si>
    <t>Sobi</t>
  </si>
  <si>
    <t>E017</t>
  </si>
  <si>
    <t>Sulo</t>
  </si>
  <si>
    <t>E018</t>
  </si>
  <si>
    <t>Thiruna</t>
  </si>
  <si>
    <t>E019</t>
  </si>
  <si>
    <t>Bharathi</t>
  </si>
  <si>
    <t>ASSISTANT</t>
  </si>
  <si>
    <t>E020</t>
  </si>
  <si>
    <t>Sounthar</t>
  </si>
  <si>
    <t>ISALES</t>
  </si>
  <si>
    <t>Sum of SALARY</t>
  </si>
  <si>
    <t>Grand Total</t>
  </si>
  <si>
    <t>Count of NAME</t>
  </si>
  <si>
    <t>DASHBOARD</t>
  </si>
  <si>
    <t>TOTAL EMPLOYEE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</si>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</sst>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/>
    <xf numFmtId="0" fontId="0" fillId="0" borderId="2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Departnment wise Salary</a:t>
            </a:r>
          </a:p>
        </c:rich>
      </c:tx>
      <c:layout>
        <c:manualLayout>
          <c:xMode val="edge"/>
          <c:yMode val="edge"/>
          <c:x val="0.29309711286089241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MANAGER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74000</c:v>
                </c:pt>
                <c:pt idx="1">
                  <c:v>55000</c:v>
                </c:pt>
                <c:pt idx="2">
                  <c:v>198500</c:v>
                </c:pt>
                <c:pt idx="3">
                  <c:v>32000</c:v>
                </c:pt>
                <c:pt idx="4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8-4461-9EDD-B3A3DAB3AA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437959"/>
        <c:axId val="189442055"/>
      </c:barChart>
      <c:catAx>
        <c:axId val="18943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42055"/>
        <c:crosses val="autoZero"/>
        <c:auto val="1"/>
        <c:lblAlgn val="ctr"/>
        <c:lblOffset val="100"/>
        <c:noMultiLvlLbl val="0"/>
      </c:catAx>
      <c:valAx>
        <c:axId val="18944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37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EMP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F-4BB0-8A8C-62D9BE8BF1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F-4BB0-8A8C-62D9BE8BF1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1-4388-9586-4224178F8A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wise EMP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1-4669-8D8E-54DE7B4F3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7699848"/>
        <c:axId val="2097701896"/>
      </c:barChart>
      <c:catAx>
        <c:axId val="209769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01896"/>
        <c:crosses val="autoZero"/>
        <c:auto val="1"/>
        <c:lblAlgn val="ctr"/>
        <c:lblOffset val="100"/>
        <c:noMultiLvlLbl val="0"/>
      </c:catAx>
      <c:valAx>
        <c:axId val="209770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wise EMP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1-485B-A68A-EAB1EEF5A2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7699848"/>
        <c:axId val="2097701896"/>
      </c:barChart>
      <c:catAx>
        <c:axId val="209769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01896"/>
        <c:crosses val="autoZero"/>
        <c:auto val="1"/>
        <c:lblAlgn val="ctr"/>
        <c:lblOffset val="100"/>
        <c:noMultiLvlLbl val="0"/>
      </c:catAx>
      <c:valAx>
        <c:axId val="209770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wise EMP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1-4555-9EE3-D2238EEF87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7699848"/>
        <c:axId val="2097701896"/>
      </c:barChart>
      <c:catAx>
        <c:axId val="209769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01896"/>
        <c:crosses val="autoZero"/>
        <c:auto val="1"/>
        <c:lblAlgn val="ctr"/>
        <c:lblOffset val="100"/>
        <c:noMultiLvlLbl val="0"/>
      </c:catAx>
      <c:valAx>
        <c:axId val="209770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EMP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1F-4BD3-97CD-67D51C9617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1F-4BD3-97CD-67D51C9617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1F-4BD3-97CD-67D51C9617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Dashboard.xlsx]Sheet2!PivotTable3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Departnment wise Salary</a:t>
            </a:r>
          </a:p>
        </c:rich>
      </c:tx>
      <c:layout>
        <c:manualLayout>
          <c:xMode val="edge"/>
          <c:yMode val="edge"/>
          <c:x val="0.29309711286089241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MANAGER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74000</c:v>
                </c:pt>
                <c:pt idx="1">
                  <c:v>55000</c:v>
                </c:pt>
                <c:pt idx="2">
                  <c:v>198500</c:v>
                </c:pt>
                <c:pt idx="3">
                  <c:v>32000</c:v>
                </c:pt>
                <c:pt idx="4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F-4879-9593-6EB9985061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437959"/>
        <c:axId val="189442055"/>
      </c:barChart>
      <c:catAx>
        <c:axId val="18943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42055"/>
        <c:crosses val="autoZero"/>
        <c:auto val="1"/>
        <c:lblAlgn val="ctr"/>
        <c:lblOffset val="100"/>
        <c:noMultiLvlLbl val="0"/>
      </c:catAx>
      <c:valAx>
        <c:axId val="18944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37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2</xdr:row>
      <xdr:rowOff>161925</xdr:rowOff>
    </xdr:from>
    <xdr:to>
      <xdr:col>10</xdr:col>
      <xdr:colOff>514350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248D2-CE96-9C0E-50D8-212E82652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2</xdr:row>
      <xdr:rowOff>57150</xdr:rowOff>
    </xdr:from>
    <xdr:to>
      <xdr:col>13</xdr:col>
      <xdr:colOff>47625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40474-BF06-5B9F-336C-11EE33DD0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2</xdr:row>
      <xdr:rowOff>57150</xdr:rowOff>
    </xdr:from>
    <xdr:to>
      <xdr:col>13</xdr:col>
      <xdr:colOff>47625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C8BE9-51E8-568D-57E2-BA0B2FC4C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5</xdr:row>
      <xdr:rowOff>171450</xdr:rowOff>
    </xdr:from>
    <xdr:to>
      <xdr:col>3</xdr:col>
      <xdr:colOff>942975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EDF73-EF54-4179-9EEA-14C9A6F2E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36</xdr:row>
      <xdr:rowOff>57150</xdr:rowOff>
    </xdr:from>
    <xdr:to>
      <xdr:col>3</xdr:col>
      <xdr:colOff>904875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1806F-2437-4456-982A-CF54BB4D0DB0}"/>
            </a:ext>
            <a:ext uri="{147F2762-F138-4A5C-976F-8EAC2B608ADB}">
              <a16:predDERef xmlns:a16="http://schemas.microsoft.com/office/drawing/2014/main" pred="{7D2EDF73-EF54-4179-9EEA-14C9A6F2E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5</xdr:row>
      <xdr:rowOff>161925</xdr:rowOff>
    </xdr:from>
    <xdr:to>
      <xdr:col>8</xdr:col>
      <xdr:colOff>561975</xdr:colOff>
      <xdr:row>17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BFB8A5-961D-4E81-A2E2-C0D0BE75E952}"/>
            </a:ext>
            <a:ext uri="{147F2762-F138-4A5C-976F-8EAC2B608ADB}">
              <a16:predDERef xmlns:a16="http://schemas.microsoft.com/office/drawing/2014/main" pred="{99D1806F-2437-4456-982A-CF54BB4D0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485775</xdr:colOff>
      <xdr:row>5</xdr:row>
      <xdr:rowOff>104775</xdr:rowOff>
    </xdr:from>
    <xdr:to>
      <xdr:col>16</xdr:col>
      <xdr:colOff>200025</xdr:colOff>
      <xdr:row>17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1B4976-0798-44E2-80CA-EE0D5145059B}"/>
            </a:ext>
            <a:ext uri="{147F2762-F138-4A5C-976F-8EAC2B608ADB}">
              <a16:predDERef xmlns:a16="http://schemas.microsoft.com/office/drawing/2014/main" pred="{25BFB8A5-961D-4E81-A2E2-C0D0BE75E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690563888886" createdVersion="8" refreshedVersion="8" minRefreshableVersion="3" recordCount="17" xr:uid="{FA447F2C-D984-4AAD-A775-6395690D6C9E}">
  <cacheSource type="worksheet">
    <worksheetSource ref="A1:I18" sheet=" Sheet1"/>
  </cacheSource>
  <cacheFields count="9">
    <cacheField name="EMP ID" numFmtId="0">
      <sharedItems/>
    </cacheField>
    <cacheField name="NAME" numFmtId="0">
      <sharedItems/>
    </cacheField>
    <cacheField name="DEPARTNMENT" numFmtId="0">
      <sharedItems count="5">
        <s v="IT"/>
        <s v="HR"/>
        <s v="SALES"/>
        <s v="FINANCE"/>
        <s v="MANAGER"/>
      </sharedItems>
    </cacheField>
    <cacheField name="SALARY" numFmtId="0">
      <sharedItems containsSemiMixedTypes="0" containsString="0" containsNumber="1" containsInteger="1" minValue="5500" maxValue="56000"/>
    </cacheField>
    <cacheField name="EXPERIENCE" numFmtId="0">
      <sharedItems containsSemiMixedTypes="0" containsString="0" containsNumber="1" containsInteger="1" minValue="1" maxValue="5"/>
    </cacheField>
    <cacheField name="STATUS" numFmtId="0">
      <sharedItems/>
    </cacheField>
    <cacheField name="GENDER" numFmtId="0">
      <sharedItems/>
    </cacheField>
    <cacheField name="BONUS" numFmtId="0">
      <sharedItems containsSemiMixedTypes="0" containsString="0" containsNumber="1" containsInteger="1" minValue="275" maxValue="5600"/>
    </cacheField>
    <cacheField name="TOTAL SALARY" numFmtId="0">
      <sharedItems containsSemiMixedTypes="0" containsString="0" containsNumber="1" containsInteger="1" minValue="5775" maxValue="61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691457291665" createdVersion="8" refreshedVersion="8" minRefreshableVersion="3" recordCount="20" xr:uid="{71DA5077-D4E3-4162-9A17-373AE4C5319F}">
  <cacheSource type="worksheet">
    <worksheetSource ref="A1:I21" sheet=" Sheet1"/>
  </cacheSource>
  <cacheFields count="9">
    <cacheField name="EMP ID" numFmtId="0">
      <sharedItems/>
    </cacheField>
    <cacheField name="NAME" numFmtId="0">
      <sharedItems count="20">
        <s v="Arun"/>
        <s v="Priya"/>
        <s v="Karthika"/>
        <s v="Divya"/>
        <s v="Ravi"/>
        <s v="Meena"/>
        <s v="Surys"/>
        <s v="Anu"/>
        <s v="Ria"/>
        <s v="Raj"/>
        <s v="Ponni"/>
        <s v="Rithika"/>
        <s v="Vennila"/>
        <s v="Ashwin"/>
        <s v="KAavi"/>
        <s v="Sobi"/>
        <s v="Sulo"/>
        <s v="Thiruna"/>
        <s v="Bharathi"/>
        <s v="Sounthar"/>
      </sharedItems>
    </cacheField>
    <cacheField name="DEPARTNMENT" numFmtId="0">
      <sharedItems/>
    </cacheField>
    <cacheField name="SALARY" numFmtId="0">
      <sharedItems containsSemiMixedTypes="0" containsString="0" containsNumber="1" containsInteger="1" minValue="5500" maxValue="56000"/>
    </cacheField>
    <cacheField name="EXPERIENCE" numFmtId="0">
      <sharedItems containsSemiMixedTypes="0" containsString="0" containsNumber="1" containsInteger="1" minValue="1" maxValue="5"/>
    </cacheField>
    <cacheField name="STATUS" numFmtId="0">
      <sharedItems count="2">
        <s v="Active"/>
        <s v="Inactive"/>
      </sharedItems>
    </cacheField>
    <cacheField name="GENDER" numFmtId="0">
      <sharedItems count="2">
        <s v="Male"/>
        <s v="Female"/>
      </sharedItems>
    </cacheField>
    <cacheField name="BONUS" numFmtId="0">
      <sharedItems containsSemiMixedTypes="0" containsString="0" containsNumber="1" containsInteger="1" minValue="275" maxValue="5600"/>
    </cacheField>
    <cacheField name="TOTAL SALARY" numFmtId="0">
      <sharedItems containsSemiMixedTypes="0" containsString="0" containsNumber="1" containsInteger="1" minValue="5775" maxValue="61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E001"/>
    <s v="Arun"/>
    <x v="0"/>
    <n v="35000"/>
    <n v="2"/>
    <s v="Active"/>
    <s v="Male"/>
    <n v="1750"/>
    <n v="36750"/>
  </r>
  <r>
    <s v="E002"/>
    <s v="Priya"/>
    <x v="1"/>
    <n v="28000"/>
    <n v="1"/>
    <s v="Active"/>
    <s v="Female"/>
    <n v="1400"/>
    <n v="29400"/>
  </r>
  <r>
    <s v="E003"/>
    <s v="Karthika"/>
    <x v="2"/>
    <n v="32000"/>
    <n v="3"/>
    <s v="Inactive"/>
    <s v="Male"/>
    <n v="1600"/>
    <n v="33600"/>
  </r>
  <r>
    <s v="E004"/>
    <s v="Divya"/>
    <x v="0"/>
    <n v="45000"/>
    <n v="5"/>
    <s v="Active"/>
    <s v="Female"/>
    <n v="4500"/>
    <n v="49500"/>
  </r>
  <r>
    <s v="E005"/>
    <s v="Ravi"/>
    <x v="3"/>
    <n v="30000"/>
    <n v="2"/>
    <s v="Active"/>
    <s v="Male"/>
    <n v="1500"/>
    <n v="31500"/>
  </r>
  <r>
    <s v="E006"/>
    <s v="Meena"/>
    <x v="1"/>
    <n v="27000"/>
    <n v="1"/>
    <s v="Inactive"/>
    <s v="Female"/>
    <n v="1350"/>
    <n v="28350"/>
  </r>
  <r>
    <s v="E007"/>
    <s v="Surys"/>
    <x v="2"/>
    <n v="38000"/>
    <n v="4"/>
    <s v="Active"/>
    <s v="Male"/>
    <n v="1900"/>
    <n v="39900"/>
  </r>
  <r>
    <s v="E008"/>
    <s v="Anu"/>
    <x v="0"/>
    <n v="42000"/>
    <n v="3"/>
    <s v="Active"/>
    <s v="Female"/>
    <n v="4200"/>
    <n v="46200"/>
  </r>
  <r>
    <s v="E009"/>
    <s v="Ria"/>
    <x v="0"/>
    <n v="5500"/>
    <n v="1"/>
    <s v="Active"/>
    <s v="Female"/>
    <n v="275"/>
    <n v="5775"/>
  </r>
  <r>
    <s v="E010"/>
    <s v="Raj"/>
    <x v="2"/>
    <n v="34000"/>
    <n v="2"/>
    <s v="Active"/>
    <s v="Male"/>
    <n v="1700"/>
    <n v="35700"/>
  </r>
  <r>
    <s v="E011"/>
    <s v="Ponni"/>
    <x v="3"/>
    <n v="44000"/>
    <n v="3"/>
    <s v="Active"/>
    <s v="Female"/>
    <n v="4400"/>
    <n v="48400"/>
  </r>
  <r>
    <s v="E012"/>
    <s v="Rithika"/>
    <x v="0"/>
    <n v="56000"/>
    <n v="2"/>
    <s v="Inactive"/>
    <s v="Female"/>
    <n v="5600"/>
    <n v="61600"/>
  </r>
  <r>
    <s v="E013"/>
    <s v="Vennila"/>
    <x v="2"/>
    <n v="10000"/>
    <n v="1"/>
    <s v="Inactive"/>
    <s v="Female"/>
    <n v="500"/>
    <n v="10500"/>
  </r>
  <r>
    <s v="E014"/>
    <s v="Ashwin"/>
    <x v="4"/>
    <n v="20000"/>
    <n v="3"/>
    <s v="Active"/>
    <s v="Male"/>
    <n v="1000"/>
    <n v="21000"/>
  </r>
  <r>
    <s v="E015"/>
    <s v="KAavi"/>
    <x v="4"/>
    <n v="12000"/>
    <n v="1"/>
    <s v="Inactive"/>
    <s v="Male"/>
    <n v="600"/>
    <n v="12600"/>
  </r>
  <r>
    <s v="E016"/>
    <s v="Sobi"/>
    <x v="0"/>
    <n v="15000"/>
    <n v="5"/>
    <s v="Inactive"/>
    <s v="Female"/>
    <n v="750"/>
    <n v="15750"/>
  </r>
  <r>
    <s v="E017"/>
    <s v="Sulo"/>
    <x v="2"/>
    <n v="56000"/>
    <n v="1"/>
    <s v="Inactive"/>
    <s v="Female"/>
    <n v="5600"/>
    <n v="61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01"/>
    <x v="0"/>
    <s v="IT"/>
    <n v="35000"/>
    <n v="2"/>
    <x v="0"/>
    <x v="0"/>
    <n v="1750"/>
    <n v="36750"/>
  </r>
  <r>
    <s v="E002"/>
    <x v="1"/>
    <s v="HR"/>
    <n v="28000"/>
    <n v="1"/>
    <x v="0"/>
    <x v="1"/>
    <n v="1400"/>
    <n v="29400"/>
  </r>
  <r>
    <s v="E003"/>
    <x v="2"/>
    <s v="SALES"/>
    <n v="32000"/>
    <n v="3"/>
    <x v="1"/>
    <x v="0"/>
    <n v="1600"/>
    <n v="33600"/>
  </r>
  <r>
    <s v="E004"/>
    <x v="3"/>
    <s v="IT"/>
    <n v="45000"/>
    <n v="5"/>
    <x v="0"/>
    <x v="1"/>
    <n v="4500"/>
    <n v="49500"/>
  </r>
  <r>
    <s v="E005"/>
    <x v="4"/>
    <s v="FINANCE"/>
    <n v="30000"/>
    <n v="2"/>
    <x v="0"/>
    <x v="0"/>
    <n v="1500"/>
    <n v="31500"/>
  </r>
  <r>
    <s v="E006"/>
    <x v="5"/>
    <s v="HR"/>
    <n v="27000"/>
    <n v="1"/>
    <x v="1"/>
    <x v="1"/>
    <n v="1350"/>
    <n v="28350"/>
  </r>
  <r>
    <s v="E007"/>
    <x v="6"/>
    <s v="SALES"/>
    <n v="38000"/>
    <n v="4"/>
    <x v="0"/>
    <x v="0"/>
    <n v="1900"/>
    <n v="39900"/>
  </r>
  <r>
    <s v="E008"/>
    <x v="7"/>
    <s v="IT"/>
    <n v="42000"/>
    <n v="3"/>
    <x v="0"/>
    <x v="1"/>
    <n v="4200"/>
    <n v="46200"/>
  </r>
  <r>
    <s v="E009"/>
    <x v="8"/>
    <s v="IT"/>
    <n v="5500"/>
    <n v="1"/>
    <x v="0"/>
    <x v="1"/>
    <n v="275"/>
    <n v="5775"/>
  </r>
  <r>
    <s v="E010"/>
    <x v="9"/>
    <s v="SALES"/>
    <n v="34000"/>
    <n v="2"/>
    <x v="0"/>
    <x v="0"/>
    <n v="1700"/>
    <n v="35700"/>
  </r>
  <r>
    <s v="E011"/>
    <x v="10"/>
    <s v="FINANCE"/>
    <n v="44000"/>
    <n v="3"/>
    <x v="0"/>
    <x v="1"/>
    <n v="4400"/>
    <n v="48400"/>
  </r>
  <r>
    <s v="E012"/>
    <x v="11"/>
    <s v="IT"/>
    <n v="56000"/>
    <n v="2"/>
    <x v="1"/>
    <x v="1"/>
    <n v="5600"/>
    <n v="61600"/>
  </r>
  <r>
    <s v="E013"/>
    <x v="12"/>
    <s v="SALES"/>
    <n v="10000"/>
    <n v="1"/>
    <x v="1"/>
    <x v="1"/>
    <n v="500"/>
    <n v="10500"/>
  </r>
  <r>
    <s v="E014"/>
    <x v="13"/>
    <s v="MANAGER"/>
    <n v="20000"/>
    <n v="3"/>
    <x v="0"/>
    <x v="0"/>
    <n v="1000"/>
    <n v="21000"/>
  </r>
  <r>
    <s v="E015"/>
    <x v="14"/>
    <s v="MANAGER"/>
    <n v="12000"/>
    <n v="1"/>
    <x v="1"/>
    <x v="0"/>
    <n v="600"/>
    <n v="12600"/>
  </r>
  <r>
    <s v="E016"/>
    <x v="15"/>
    <s v="IT"/>
    <n v="15000"/>
    <n v="5"/>
    <x v="1"/>
    <x v="1"/>
    <n v="750"/>
    <n v="15750"/>
  </r>
  <r>
    <s v="E017"/>
    <x v="16"/>
    <s v="SALES"/>
    <n v="56000"/>
    <n v="1"/>
    <x v="1"/>
    <x v="1"/>
    <n v="5600"/>
    <n v="61600"/>
  </r>
  <r>
    <s v="E018"/>
    <x v="17"/>
    <s v="MANAGER"/>
    <n v="32000"/>
    <n v="2"/>
    <x v="0"/>
    <x v="0"/>
    <n v="1600"/>
    <n v="33600"/>
  </r>
  <r>
    <s v="E019"/>
    <x v="18"/>
    <s v="ASSISTANT"/>
    <n v="13000"/>
    <n v="3"/>
    <x v="1"/>
    <x v="0"/>
    <n v="650"/>
    <n v="13650"/>
  </r>
  <r>
    <s v="E020"/>
    <x v="19"/>
    <s v="ISALES"/>
    <n v="10000"/>
    <n v="1"/>
    <x v="0"/>
    <x v="0"/>
    <n v="500"/>
    <n v="10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40CDB-9C2B-43B2-B841-16253A3060C8}" name="PivotTable3" cacheId="2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9">
    <pivotField compact="0" outline="0" showAll="0"/>
    <pivotField compact="0" outline="0" showAll="0"/>
    <pivotField axis="axisRow" compact="0" outline="0" showAll="0">
      <items count="6">
        <item x="3"/>
        <item x="1"/>
        <item x="0"/>
        <item x="4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676F-FF9B-4D1C-95F8-0C4DE09D77B6}" name="PivotTable4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9">
    <pivotField compact="0" outline="0" showAll="0"/>
    <pivotField dataField="1" compact="0" outline="0" showAll="0">
      <items count="21">
        <item x="7"/>
        <item x="0"/>
        <item x="13"/>
        <item x="18"/>
        <item x="3"/>
        <item x="14"/>
        <item x="2"/>
        <item x="5"/>
        <item x="10"/>
        <item x="1"/>
        <item x="9"/>
        <item x="4"/>
        <item x="8"/>
        <item x="11"/>
        <item x="15"/>
        <item x="19"/>
        <item x="16"/>
        <item x="6"/>
        <item x="17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NAME" fld="1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50FAD-1AD2-4DF3-B3DB-42922E6CD9B9}" name="PivotTable5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6" firstHeaderRow="1" firstDataRow="1" firstDataCol="1"/>
  <pivotFields count="9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NAME"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DC1A-952E-4D40-B649-89C31BF80240}">
  <dimension ref="A1:P22"/>
  <sheetViews>
    <sheetView tabSelected="1" workbookViewId="0">
      <selection activeCell="L10" sqref="L10"/>
    </sheetView>
  </sheetViews>
  <sheetFormatPr defaultRowHeight="15"/>
  <cols>
    <col min="9" max="9" width="12" customWidth="1"/>
    <col min="10" max="10" width="16.5703125" customWidth="1"/>
    <col min="11" max="11" width="14.85546875" customWidth="1"/>
    <col min="12" max="13" width="13.5703125" customWidth="1"/>
    <col min="14" max="14" width="15.42578125" customWidth="1"/>
  </cols>
  <sheetData>
    <row r="1" spans="1:16">
      <c r="A1" s="5" t="s">
        <v>0</v>
      </c>
      <c r="B1" s="5" t="s">
        <v>1</v>
      </c>
      <c r="C1" s="8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5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/>
    </row>
    <row r="2" spans="1:16">
      <c r="A2" s="6" t="s">
        <v>13</v>
      </c>
      <c r="B2" s="6" t="s">
        <v>14</v>
      </c>
      <c r="C2" s="6" t="s">
        <v>15</v>
      </c>
      <c r="D2" s="9">
        <v>35000</v>
      </c>
      <c r="E2" s="6">
        <v>2</v>
      </c>
      <c r="F2" s="6" t="s">
        <v>16</v>
      </c>
      <c r="G2" s="7" t="s">
        <v>17</v>
      </c>
      <c r="H2" s="10">
        <f>IF(D2&gt;=40000,D2*10%,D2*5%)</f>
        <v>1750</v>
      </c>
      <c r="I2" s="9">
        <f>D2+H2</f>
        <v>36750</v>
      </c>
      <c r="K2" s="1">
        <f>AVERAGE(D2:D21)</f>
        <v>29225</v>
      </c>
      <c r="L2" s="1">
        <f>MAX(D2:D21)</f>
        <v>56000</v>
      </c>
      <c r="M2" s="1">
        <f>MIN(D2:D21)</f>
        <v>5500</v>
      </c>
      <c r="N2" s="1">
        <f>COUNTIF(F2:F21,"Active")</f>
        <v>12</v>
      </c>
      <c r="O2" s="1"/>
      <c r="P2" s="1"/>
    </row>
    <row r="3" spans="1:16">
      <c r="A3" s="6" t="s">
        <v>18</v>
      </c>
      <c r="B3" s="6" t="s">
        <v>19</v>
      </c>
      <c r="C3" s="6" t="s">
        <v>20</v>
      </c>
      <c r="D3" s="9">
        <v>28000</v>
      </c>
      <c r="E3" s="6">
        <v>1</v>
      </c>
      <c r="F3" s="6" t="s">
        <v>16</v>
      </c>
      <c r="G3" s="7" t="s">
        <v>21</v>
      </c>
      <c r="H3" s="10">
        <f t="shared" ref="H3:H21" si="0">IF(D3&gt;=40000,D3*10%,D3*5%)</f>
        <v>1400</v>
      </c>
      <c r="I3" s="9">
        <f t="shared" ref="I3:I21" si="1">D3+H3</f>
        <v>29400</v>
      </c>
      <c r="K3" s="1"/>
    </row>
    <row r="4" spans="1:16">
      <c r="A4" s="6" t="s">
        <v>22</v>
      </c>
      <c r="B4" s="6" t="s">
        <v>23</v>
      </c>
      <c r="C4" s="6" t="s">
        <v>24</v>
      </c>
      <c r="D4" s="9">
        <v>32000</v>
      </c>
      <c r="E4" s="6">
        <v>3</v>
      </c>
      <c r="F4" s="6" t="s">
        <v>25</v>
      </c>
      <c r="G4" s="7" t="s">
        <v>17</v>
      </c>
      <c r="H4" s="10">
        <f t="shared" si="0"/>
        <v>1600</v>
      </c>
      <c r="I4" s="9">
        <f t="shared" si="1"/>
        <v>33600</v>
      </c>
      <c r="K4" s="1"/>
    </row>
    <row r="5" spans="1:16">
      <c r="A5" s="6" t="s">
        <v>26</v>
      </c>
      <c r="B5" s="6" t="s">
        <v>27</v>
      </c>
      <c r="C5" s="6" t="s">
        <v>15</v>
      </c>
      <c r="D5" s="9">
        <v>45000</v>
      </c>
      <c r="E5" s="6">
        <v>5</v>
      </c>
      <c r="F5" s="6" t="s">
        <v>16</v>
      </c>
      <c r="G5" s="7" t="s">
        <v>21</v>
      </c>
      <c r="H5" s="10">
        <f t="shared" si="0"/>
        <v>4500</v>
      </c>
      <c r="I5" s="9">
        <f t="shared" si="1"/>
        <v>49500</v>
      </c>
      <c r="J5" s="13" t="s">
        <v>28</v>
      </c>
      <c r="K5" s="1" t="s">
        <v>29</v>
      </c>
    </row>
    <row r="6" spans="1:16">
      <c r="A6" s="6" t="s">
        <v>30</v>
      </c>
      <c r="B6" s="6" t="s">
        <v>31</v>
      </c>
      <c r="C6" s="6" t="s">
        <v>32</v>
      </c>
      <c r="D6" s="9">
        <v>30000</v>
      </c>
      <c r="E6" s="6">
        <v>2</v>
      </c>
      <c r="F6" s="6" t="s">
        <v>16</v>
      </c>
      <c r="G6" s="7" t="s">
        <v>17</v>
      </c>
      <c r="H6" s="10">
        <f t="shared" si="0"/>
        <v>1500</v>
      </c>
      <c r="I6" s="9">
        <f t="shared" si="1"/>
        <v>31500</v>
      </c>
      <c r="J6" s="1">
        <f>SUMIF(C2:C21,"IT",D2:D21)</f>
        <v>198500</v>
      </c>
      <c r="K6" s="1">
        <f>AVERAGEIF(C2:C21,"HR",D2:D21)</f>
        <v>27500</v>
      </c>
    </row>
    <row r="7" spans="1:16">
      <c r="A7" s="6" t="s">
        <v>33</v>
      </c>
      <c r="B7" s="6" t="s">
        <v>34</v>
      </c>
      <c r="C7" s="6" t="s">
        <v>20</v>
      </c>
      <c r="D7" s="9">
        <v>27000</v>
      </c>
      <c r="E7" s="6">
        <v>1</v>
      </c>
      <c r="F7" s="6" t="s">
        <v>25</v>
      </c>
      <c r="G7" s="7" t="s">
        <v>21</v>
      </c>
      <c r="H7" s="10">
        <f t="shared" si="0"/>
        <v>1350</v>
      </c>
      <c r="I7" s="9">
        <f t="shared" si="1"/>
        <v>28350</v>
      </c>
      <c r="J7" s="1"/>
    </row>
    <row r="8" spans="1:16">
      <c r="A8" s="6" t="s">
        <v>35</v>
      </c>
      <c r="B8" s="6" t="s">
        <v>36</v>
      </c>
      <c r="C8" s="6" t="s">
        <v>24</v>
      </c>
      <c r="D8" s="9">
        <v>38000</v>
      </c>
      <c r="E8" s="6">
        <v>4</v>
      </c>
      <c r="F8" s="6" t="s">
        <v>16</v>
      </c>
      <c r="G8" s="7" t="s">
        <v>17</v>
      </c>
      <c r="H8" s="10">
        <f t="shared" si="0"/>
        <v>1900</v>
      </c>
      <c r="I8" s="9">
        <f t="shared" si="1"/>
        <v>39900</v>
      </c>
    </row>
    <row r="9" spans="1:16">
      <c r="A9" s="6" t="s">
        <v>37</v>
      </c>
      <c r="B9" s="6" t="s">
        <v>38</v>
      </c>
      <c r="C9" s="6" t="s">
        <v>15</v>
      </c>
      <c r="D9" s="9">
        <v>42000</v>
      </c>
      <c r="E9" s="6">
        <v>3</v>
      </c>
      <c r="F9" s="6" t="s">
        <v>16</v>
      </c>
      <c r="G9" s="7" t="s">
        <v>21</v>
      </c>
      <c r="H9" s="10">
        <f t="shared" si="0"/>
        <v>4200</v>
      </c>
      <c r="I9" s="9">
        <f t="shared" si="1"/>
        <v>46200</v>
      </c>
    </row>
    <row r="10" spans="1:16">
      <c r="A10" s="6" t="s">
        <v>39</v>
      </c>
      <c r="B10" s="6" t="s">
        <v>40</v>
      </c>
      <c r="C10" s="6" t="s">
        <v>15</v>
      </c>
      <c r="D10" s="9">
        <v>5500</v>
      </c>
      <c r="E10" s="6">
        <v>1</v>
      </c>
      <c r="F10" s="6" t="s">
        <v>16</v>
      </c>
      <c r="G10" s="7" t="s">
        <v>21</v>
      </c>
      <c r="H10" s="10">
        <f t="shared" si="0"/>
        <v>275</v>
      </c>
      <c r="I10" s="9">
        <f t="shared" si="1"/>
        <v>5775</v>
      </c>
    </row>
    <row r="11" spans="1:16">
      <c r="A11" s="6" t="s">
        <v>41</v>
      </c>
      <c r="B11" s="6" t="s">
        <v>42</v>
      </c>
      <c r="C11" s="6" t="s">
        <v>24</v>
      </c>
      <c r="D11" s="9">
        <v>34000</v>
      </c>
      <c r="E11" s="6">
        <v>2</v>
      </c>
      <c r="F11" s="6" t="s">
        <v>16</v>
      </c>
      <c r="G11" s="7" t="s">
        <v>17</v>
      </c>
      <c r="H11" s="10">
        <f t="shared" si="0"/>
        <v>1700</v>
      </c>
      <c r="I11" s="9">
        <f t="shared" si="1"/>
        <v>35700</v>
      </c>
    </row>
    <row r="12" spans="1:16">
      <c r="A12" s="6" t="s">
        <v>43</v>
      </c>
      <c r="B12" s="6" t="s">
        <v>44</v>
      </c>
      <c r="C12" s="6" t="s">
        <v>32</v>
      </c>
      <c r="D12" s="9">
        <v>44000</v>
      </c>
      <c r="E12" s="6">
        <v>3</v>
      </c>
      <c r="F12" s="6" t="s">
        <v>16</v>
      </c>
      <c r="G12" s="7" t="s">
        <v>21</v>
      </c>
      <c r="H12" s="10">
        <f t="shared" si="0"/>
        <v>4400</v>
      </c>
      <c r="I12" s="9">
        <f t="shared" si="1"/>
        <v>48400</v>
      </c>
    </row>
    <row r="13" spans="1:16">
      <c r="A13" s="6" t="s">
        <v>45</v>
      </c>
      <c r="B13" s="6" t="s">
        <v>46</v>
      </c>
      <c r="C13" s="6" t="s">
        <v>15</v>
      </c>
      <c r="D13" s="9">
        <v>56000</v>
      </c>
      <c r="E13" s="6">
        <v>2</v>
      </c>
      <c r="F13" s="6" t="s">
        <v>25</v>
      </c>
      <c r="G13" s="7" t="s">
        <v>21</v>
      </c>
      <c r="H13" s="10">
        <f t="shared" si="0"/>
        <v>5600</v>
      </c>
      <c r="I13" s="9">
        <f t="shared" si="1"/>
        <v>61600</v>
      </c>
    </row>
    <row r="14" spans="1:16">
      <c r="A14" s="6" t="s">
        <v>47</v>
      </c>
      <c r="B14" s="6" t="s">
        <v>48</v>
      </c>
      <c r="C14" s="6" t="s">
        <v>24</v>
      </c>
      <c r="D14" s="9">
        <v>10000</v>
      </c>
      <c r="E14" s="6">
        <v>1</v>
      </c>
      <c r="F14" s="6" t="s">
        <v>25</v>
      </c>
      <c r="G14" s="7" t="s">
        <v>21</v>
      </c>
      <c r="H14" s="10">
        <f t="shared" si="0"/>
        <v>500</v>
      </c>
      <c r="I14" s="9">
        <f t="shared" si="1"/>
        <v>10500</v>
      </c>
    </row>
    <row r="15" spans="1:16">
      <c r="A15" s="6" t="s">
        <v>49</v>
      </c>
      <c r="B15" s="6" t="s">
        <v>50</v>
      </c>
      <c r="C15" s="6" t="s">
        <v>51</v>
      </c>
      <c r="D15" s="9">
        <v>20000</v>
      </c>
      <c r="E15" s="6">
        <v>3</v>
      </c>
      <c r="F15" s="6" t="s">
        <v>16</v>
      </c>
      <c r="G15" s="7" t="s">
        <v>17</v>
      </c>
      <c r="H15" s="10">
        <f t="shared" si="0"/>
        <v>1000</v>
      </c>
      <c r="I15" s="9">
        <f t="shared" si="1"/>
        <v>21000</v>
      </c>
    </row>
    <row r="16" spans="1:16">
      <c r="A16" s="6" t="s">
        <v>52</v>
      </c>
      <c r="B16" s="6" t="s">
        <v>53</v>
      </c>
      <c r="C16" s="6" t="s">
        <v>51</v>
      </c>
      <c r="D16" s="9">
        <v>12000</v>
      </c>
      <c r="E16" s="6">
        <v>1</v>
      </c>
      <c r="F16" s="6" t="s">
        <v>25</v>
      </c>
      <c r="G16" s="7" t="s">
        <v>17</v>
      </c>
      <c r="H16" s="10">
        <f t="shared" si="0"/>
        <v>600</v>
      </c>
      <c r="I16" s="9">
        <f t="shared" si="1"/>
        <v>12600</v>
      </c>
    </row>
    <row r="17" spans="1:9">
      <c r="A17" s="6" t="s">
        <v>54</v>
      </c>
      <c r="B17" s="6" t="s">
        <v>55</v>
      </c>
      <c r="C17" s="6" t="s">
        <v>15</v>
      </c>
      <c r="D17" s="9">
        <v>15000</v>
      </c>
      <c r="E17" s="6">
        <v>5</v>
      </c>
      <c r="F17" s="6" t="s">
        <v>25</v>
      </c>
      <c r="G17" s="7" t="s">
        <v>21</v>
      </c>
      <c r="H17" s="10">
        <f t="shared" si="0"/>
        <v>750</v>
      </c>
      <c r="I17" s="9">
        <f t="shared" si="1"/>
        <v>15750</v>
      </c>
    </row>
    <row r="18" spans="1:9">
      <c r="A18" s="6" t="s">
        <v>56</v>
      </c>
      <c r="B18" s="6" t="s">
        <v>57</v>
      </c>
      <c r="C18" s="6" t="s">
        <v>24</v>
      </c>
      <c r="D18" s="9">
        <v>56000</v>
      </c>
      <c r="E18" s="6">
        <v>1</v>
      </c>
      <c r="F18" s="6" t="s">
        <v>25</v>
      </c>
      <c r="G18" s="7" t="s">
        <v>21</v>
      </c>
      <c r="H18" s="10">
        <f t="shared" si="0"/>
        <v>5600</v>
      </c>
      <c r="I18" s="9">
        <f t="shared" si="1"/>
        <v>61600</v>
      </c>
    </row>
    <row r="19" spans="1:9">
      <c r="A19" s="6" t="s">
        <v>58</v>
      </c>
      <c r="B19" s="6" t="s">
        <v>59</v>
      </c>
      <c r="C19" s="6" t="s">
        <v>51</v>
      </c>
      <c r="D19" s="9">
        <v>32000</v>
      </c>
      <c r="E19" s="6">
        <v>2</v>
      </c>
      <c r="F19" s="6" t="s">
        <v>16</v>
      </c>
      <c r="G19" s="7" t="s">
        <v>17</v>
      </c>
      <c r="H19" s="10">
        <f t="shared" si="0"/>
        <v>1600</v>
      </c>
      <c r="I19" s="9">
        <f t="shared" si="1"/>
        <v>33600</v>
      </c>
    </row>
    <row r="20" spans="1:9">
      <c r="A20" s="6" t="s">
        <v>60</v>
      </c>
      <c r="B20" s="6" t="s">
        <v>61</v>
      </c>
      <c r="C20" s="6" t="s">
        <v>62</v>
      </c>
      <c r="D20" s="9">
        <v>13000</v>
      </c>
      <c r="E20" s="6">
        <v>3</v>
      </c>
      <c r="F20" s="6" t="s">
        <v>25</v>
      </c>
      <c r="G20" s="7" t="s">
        <v>17</v>
      </c>
      <c r="H20" s="10">
        <f t="shared" si="0"/>
        <v>650</v>
      </c>
      <c r="I20" s="9">
        <f t="shared" si="1"/>
        <v>13650</v>
      </c>
    </row>
    <row r="21" spans="1:9">
      <c r="A21" s="6" t="s">
        <v>63</v>
      </c>
      <c r="B21" s="6" t="s">
        <v>64</v>
      </c>
      <c r="C21" s="6" t="s">
        <v>65</v>
      </c>
      <c r="D21" s="9">
        <v>10000</v>
      </c>
      <c r="E21" s="6">
        <v>1</v>
      </c>
      <c r="F21" s="6" t="s">
        <v>16</v>
      </c>
      <c r="G21" s="7" t="s">
        <v>17</v>
      </c>
      <c r="H21" s="10">
        <f t="shared" si="0"/>
        <v>500</v>
      </c>
      <c r="I21" s="9">
        <f t="shared" si="1"/>
        <v>10500</v>
      </c>
    </row>
    <row r="22" spans="1:9">
      <c r="I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BA9B-A00B-4988-9DE8-0F3E91916346}">
  <dimension ref="A3:B9"/>
  <sheetViews>
    <sheetView workbookViewId="0">
      <selection activeCell="L8" sqref="L1:L8"/>
    </sheetView>
  </sheetViews>
  <sheetFormatPr defaultRowHeight="15"/>
  <cols>
    <col min="1" max="1" width="18.28515625" bestFit="1" customWidth="1"/>
    <col min="2" max="2" width="14.85546875" bestFit="1" customWidth="1"/>
  </cols>
  <sheetData>
    <row r="3" spans="1:2">
      <c r="A3" s="4" t="s">
        <v>2</v>
      </c>
      <c r="B3" t="s">
        <v>66</v>
      </c>
    </row>
    <row r="4" spans="1:2">
      <c r="A4" t="s">
        <v>32</v>
      </c>
      <c r="B4" s="3">
        <v>74000</v>
      </c>
    </row>
    <row r="5" spans="1:2">
      <c r="A5" t="s">
        <v>20</v>
      </c>
      <c r="B5" s="3">
        <v>55000</v>
      </c>
    </row>
    <row r="6" spans="1:2">
      <c r="A6" t="s">
        <v>15</v>
      </c>
      <c r="B6" s="3">
        <v>198500</v>
      </c>
    </row>
    <row r="7" spans="1:2">
      <c r="A7" t="s">
        <v>51</v>
      </c>
      <c r="B7" s="3">
        <v>32000</v>
      </c>
    </row>
    <row r="8" spans="1:2">
      <c r="A8" t="s">
        <v>24</v>
      </c>
      <c r="B8" s="3">
        <v>170000</v>
      </c>
    </row>
    <row r="9" spans="1:2">
      <c r="A9" t="s">
        <v>67</v>
      </c>
      <c r="B9" s="3">
        <v>529500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FF78-A96E-40D6-B3CF-56012B9C1357}">
  <dimension ref="A3:B6"/>
  <sheetViews>
    <sheetView workbookViewId="0">
      <selection activeCell="A3" sqref="A3:B6"/>
    </sheetView>
  </sheetViews>
  <sheetFormatPr defaultRowHeight="15"/>
  <cols>
    <col min="1" max="1" width="11.7109375" bestFit="1" customWidth="1"/>
    <col min="2" max="2" width="15" bestFit="1" customWidth="1"/>
  </cols>
  <sheetData>
    <row r="3" spans="1:2">
      <c r="A3" s="4" t="s">
        <v>6</v>
      </c>
      <c r="B3" t="s">
        <v>68</v>
      </c>
    </row>
    <row r="4" spans="1:2">
      <c r="A4" t="s">
        <v>21</v>
      </c>
      <c r="B4" s="3">
        <v>10</v>
      </c>
    </row>
    <row r="5" spans="1:2">
      <c r="A5" t="s">
        <v>17</v>
      </c>
      <c r="B5" s="3">
        <v>10</v>
      </c>
    </row>
    <row r="6" spans="1:2">
      <c r="A6" t="s">
        <v>67</v>
      </c>
      <c r="B6" s="3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31FA-998F-41B7-A7FD-8BAC3341158B}">
  <dimension ref="A3:B6"/>
  <sheetViews>
    <sheetView workbookViewId="0">
      <selection activeCell="P12" sqref="P12"/>
    </sheetView>
  </sheetViews>
  <sheetFormatPr defaultRowHeight="15"/>
  <cols>
    <col min="1" max="1" width="11.7109375" bestFit="1" customWidth="1"/>
    <col min="2" max="2" width="15" bestFit="1" customWidth="1"/>
  </cols>
  <sheetData>
    <row r="3" spans="1:2">
      <c r="A3" s="4" t="s">
        <v>5</v>
      </c>
      <c r="B3" t="s">
        <v>68</v>
      </c>
    </row>
    <row r="4" spans="1:2">
      <c r="A4" t="s">
        <v>16</v>
      </c>
      <c r="B4" s="3">
        <v>12</v>
      </c>
    </row>
    <row r="5" spans="1:2">
      <c r="A5" t="s">
        <v>25</v>
      </c>
      <c r="B5" s="3">
        <v>8</v>
      </c>
    </row>
    <row r="6" spans="1:2">
      <c r="A6" t="s">
        <v>67</v>
      </c>
      <c r="B6" s="3">
        <v>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CA4B-FB77-4283-8C92-979E199E07AD}">
  <dimension ref="B1:F5"/>
  <sheetViews>
    <sheetView workbookViewId="0">
      <selection activeCell="E17" sqref="E17"/>
    </sheetView>
  </sheetViews>
  <sheetFormatPr defaultRowHeight="15"/>
  <cols>
    <col min="2" max="2" width="16.85546875" customWidth="1"/>
    <col min="3" max="3" width="14" customWidth="1"/>
    <col min="4" max="4" width="16" customWidth="1"/>
    <col min="5" max="5" width="15" customWidth="1"/>
    <col min="6" max="6" width="14.85546875" customWidth="1"/>
  </cols>
  <sheetData>
    <row r="1" spans="2:6">
      <c r="D1" s="12" t="s">
        <v>69</v>
      </c>
      <c r="E1" s="12"/>
    </row>
    <row r="4" spans="2:6">
      <c r="B4" s="11" t="s">
        <v>70</v>
      </c>
      <c r="C4" s="11" t="s">
        <v>8</v>
      </c>
      <c r="D4" s="11" t="s">
        <v>71</v>
      </c>
      <c r="E4" s="11" t="s">
        <v>72</v>
      </c>
      <c r="F4" s="11" t="s">
        <v>73</v>
      </c>
    </row>
    <row r="5" spans="2:6">
      <c r="B5" s="1">
        <v>20</v>
      </c>
      <c r="C5" s="1">
        <v>584500</v>
      </c>
      <c r="D5" s="1">
        <v>29225</v>
      </c>
      <c r="E5" s="1">
        <v>56000</v>
      </c>
      <c r="F5" s="1">
        <v>5500</v>
      </c>
    </row>
  </sheetData>
  <mergeCells count="1"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2026-07-20T05:29:14Z</dcterms:created>
  <dcterms:modified xsi:type="dcterms:W3CDTF">2026-07-20T12:28:28Z</dcterms:modified>
  <cp:category/>
  <cp:contentStatus/>
</cp:coreProperties>
</file>